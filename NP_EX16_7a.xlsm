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yoti_000\Desktop\ACC\ITSW-1304\Review_Worksheet\Excel7\"/>
    </mc:Choice>
  </mc:AlternateContent>
  <xr:revisionPtr revIDLastSave="0" documentId="13_ncr:1_{A8205733-12C4-4FA7-AF89-F6668E4436C1}" xr6:coauthVersionLast="41" xr6:coauthVersionMax="41" xr10:uidLastSave="{00000000-0000-0000-0000-000000000000}"/>
  <workbookProtection lockStructure="1"/>
  <bookViews>
    <workbookView xWindow="0" yWindow="390" windowWidth="20490" windowHeight="10920" firstSheet="1" activeTab="3" xr2:uid="{00000000-000D-0000-FFFF-FFFF00000000}"/>
  </bookViews>
  <sheets>
    <sheet name="Documentation" sheetId="6" r:id="rId1"/>
    <sheet name="Volunteer Totals" sheetId="4" r:id="rId2"/>
    <sheet name="Volunteer Letterhead" sheetId="5" r:id="rId3"/>
    <sheet name="Volunteer Records" sheetId="3" r:id="rId4"/>
    <sheet name="Volunteer Registration" sheetId="1" r:id="rId5"/>
  </sheets>
  <definedNames>
    <definedName name="Friday_Afternoon">'Volunteer Totals'!$C$5:$C$10</definedName>
    <definedName name="Friday_Morning">'Volunteer Totals'!$B$5:$B$10</definedName>
    <definedName name="Landscaping">'Volunteer Totals'!$H$5</definedName>
    <definedName name="Material_Transport">'Volunteer Totals'!$H$6</definedName>
    <definedName name="Refreshments">'Volunteer Totals'!$H$7</definedName>
    <definedName name="River_Cleanup">'Volunteer Totals'!$H$4</definedName>
    <definedName name="Saturday_Afternoon">'Volunteer Totals'!$C$15:$C$20</definedName>
    <definedName name="Saturday_Morning">'Volunteer Totals'!$B$15:$B$20</definedName>
    <definedName name="Sunday_Afternoon">'Volunteer Totals'!$C$25:$C$30</definedName>
    <definedName name="Sunday_Morning">'Volunteer Totals'!$B$25:$B$30</definedName>
    <definedName name="Support">'Volunteer Totals'!$H$8</definedName>
    <definedName name="Total_Volunteers">'Volunteer Totals'!$H$3:$H$8</definedName>
    <definedName name="Waterfront_Cleanup">'Volunteer Totals'!$H$3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" i="4" l="1"/>
  <c r="C31" i="4"/>
  <c r="B31" i="4"/>
  <c r="B21" i="4"/>
  <c r="C11" i="4"/>
  <c r="D6" i="4"/>
  <c r="D7" i="4"/>
  <c r="D8" i="4"/>
  <c r="D9" i="4"/>
  <c r="D10" i="4"/>
  <c r="D5" i="4"/>
  <c r="B11" i="4"/>
  <c r="D16" i="4"/>
  <c r="D17" i="4"/>
  <c r="D18" i="4"/>
  <c r="D19" i="4"/>
  <c r="D20" i="4"/>
  <c r="C21" i="4"/>
  <c r="D21" i="4"/>
  <c r="D15" i="4"/>
  <c r="D26" i="4"/>
  <c r="D27" i="4"/>
  <c r="D28" i="4"/>
  <c r="D29" i="4"/>
  <c r="D30" i="4"/>
  <c r="D31" i="4"/>
  <c r="D25" i="4"/>
  <c r="D11" i="4"/>
  <c r="H4" i="4"/>
  <c r="H5" i="4"/>
  <c r="H6" i="4"/>
  <c r="H7" i="4"/>
  <c r="H8" i="4"/>
  <c r="H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tc={BB600175-FA15-4B12-A8B6-559D7FB17889}</author>
  </authors>
  <commentList>
    <comment ref="G1" authorId="0" shapeId="0" xr:uid="{BB600175-FA15-4B12-A8B6-559D7FB17889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 moving this table to another worksheet.</t>
      </text>
    </comment>
  </commentList>
</comments>
</file>

<file path=xl/sharedStrings.xml><?xml version="1.0" encoding="utf-8"?>
<sst xmlns="http://schemas.openxmlformats.org/spreadsheetml/2006/main" count="75" uniqueCount="33">
  <si>
    <t>Volunteer Name</t>
  </si>
  <si>
    <t>Volunteer Date</t>
  </si>
  <si>
    <t>Organization</t>
  </si>
  <si>
    <t>T-Shirt Size</t>
  </si>
  <si>
    <t>Assignment</t>
  </si>
  <si>
    <t>Reclaim the River</t>
  </si>
  <si>
    <t>Volunteer Registration</t>
  </si>
  <si>
    <t>Waterfront Cleanup</t>
  </si>
  <si>
    <t>Landscaping</t>
  </si>
  <si>
    <t>River Cleanup</t>
  </si>
  <si>
    <t>Refreshments</t>
  </si>
  <si>
    <t>Material Transport</t>
  </si>
  <si>
    <t>Morning Volunteers</t>
  </si>
  <si>
    <t>Afternoon Volunteers</t>
  </si>
  <si>
    <t>Total</t>
  </si>
  <si>
    <t>Support</t>
  </si>
  <si>
    <t>Event Totals</t>
  </si>
  <si>
    <t>Total Volunteers</t>
  </si>
  <si>
    <t>L</t>
  </si>
  <si>
    <t>Issac Boraks</t>
  </si>
  <si>
    <t>Sunrise Preschool</t>
  </si>
  <si>
    <t>Sunday - May 19, 2018</t>
  </si>
  <si>
    <t>Saturday- May 18, 2018</t>
  </si>
  <si>
    <t>Friday - May 17, 2018</t>
  </si>
  <si>
    <t>Author:</t>
  </si>
  <si>
    <t>Jyoti Kurchania</t>
  </si>
  <si>
    <t>Note: Do not edit this sheet. If your name does not appear in cell B6, please download a new copy of the file from the SAM website.</t>
  </si>
  <si>
    <r>
      <rPr>
        <b/>
        <sz val="11"/>
        <color rgb="FF000000"/>
        <rFont val="Century Gothic"/>
        <family val="2"/>
      </rPr>
      <t xml:space="preserve">New Perspectives </t>
    </r>
    <r>
      <rPr>
        <sz val="11"/>
        <color rgb="FF000000"/>
        <rFont val="Century Gothic"/>
        <family val="2"/>
      </rPr>
      <t>Excel 2016 | Module 7: SAM Project 1a</t>
    </r>
  </si>
  <si>
    <t>DEVELOPING AN EXCEL APPLICATION</t>
  </si>
  <si>
    <t xml:space="preserve">Reclaim the River </t>
  </si>
  <si>
    <t>Kate Bryant</t>
  </si>
  <si>
    <t>Ultimate Craft Center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</si>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</sst>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2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b/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8" tint="0.3999450666829432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/>
      <diagonal/>
    </border>
    <border>
      <left/>
      <right style="medium">
        <color theme="8" tint="-0.499984740745262"/>
      </right>
      <top style="medium">
        <color theme="8" tint="-0.499984740745262"/>
      </top>
      <bottom/>
      <diagonal/>
    </border>
    <border>
      <left style="medium">
        <color theme="8" tint="-0.499984740745262"/>
      </left>
      <right/>
      <top/>
      <bottom/>
      <diagonal/>
    </border>
    <border>
      <left/>
      <right style="medium">
        <color theme="8" tint="-0.499984740745262"/>
      </right>
      <top/>
      <bottom/>
      <diagonal/>
    </border>
    <border>
      <left style="medium">
        <color theme="8" tint="-0.499984740745262"/>
      </left>
      <right/>
      <top/>
      <bottom style="medium">
        <color theme="8" tint="-0.499984740745262"/>
      </bottom>
      <diagonal/>
    </border>
    <border>
      <left/>
      <right style="medium">
        <color theme="8" tint="-0.499984740745262"/>
      </right>
      <top/>
      <bottom style="medium">
        <color theme="8" tint="-0.499984740745262"/>
      </bottom>
      <diagonal/>
    </border>
    <border>
      <left style="thick">
        <color theme="8" tint="-0.499984740745262"/>
      </left>
      <right/>
      <top style="thick">
        <color theme="8" tint="-0.499984740745262"/>
      </top>
      <bottom/>
      <diagonal/>
    </border>
    <border>
      <left/>
      <right/>
      <top style="thick">
        <color theme="8" tint="-0.499984740745262"/>
      </top>
      <bottom/>
      <diagonal/>
    </border>
    <border>
      <left/>
      <right style="thick">
        <color theme="8" tint="-0.499984740745262"/>
      </right>
      <top style="thick">
        <color theme="8" tint="-0.499984740745262"/>
      </top>
      <bottom/>
      <diagonal/>
    </border>
    <border>
      <left style="thick">
        <color theme="8" tint="-0.499984740745262"/>
      </left>
      <right/>
      <top/>
      <bottom/>
      <diagonal/>
    </border>
    <border>
      <left/>
      <right style="thick">
        <color theme="8" tint="-0.499984740745262"/>
      </right>
      <top/>
      <bottom/>
      <diagonal/>
    </border>
    <border>
      <left style="thick">
        <color theme="8" tint="-0.499984740745262"/>
      </left>
      <right/>
      <top/>
      <bottom style="thick">
        <color theme="8" tint="-0.499984740745262"/>
      </bottom>
      <diagonal/>
    </border>
    <border>
      <left/>
      <right/>
      <top/>
      <bottom style="thick">
        <color theme="8" tint="-0.499984740745262"/>
      </bottom>
      <diagonal/>
    </border>
    <border>
      <left/>
      <right style="thick">
        <color theme="8" tint="-0.499984740745262"/>
      </right>
      <top/>
      <bottom style="thick">
        <color theme="8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double">
        <color indexed="64"/>
      </bottom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</borders>
  <cellStyleXfs count="9">
    <xf numFmtId="0" fontId="0" fillId="0" borderId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4" fillId="5" borderId="0" applyNumberFormat="0" applyBorder="0" applyAlignment="0" applyProtection="0"/>
    <xf numFmtId="0" fontId="10" fillId="0" borderId="0"/>
    <xf numFmtId="0" fontId="12" fillId="9" borderId="0">
      <alignment vertical="top" wrapText="1"/>
    </xf>
    <xf numFmtId="0" fontId="14" fillId="9" borderId="0">
      <alignment vertical="top" wrapText="1"/>
    </xf>
    <xf numFmtId="0" fontId="12" fillId="9" borderId="0">
      <alignment vertical="top" wrapText="1"/>
    </xf>
  </cellStyleXfs>
  <cellXfs count="69">
    <xf numFmtId="0" fontId="0" fillId="0" borderId="0" xfId="0"/>
    <xf numFmtId="0" fontId="0" fillId="0" borderId="0" xfId="0" applyProtection="1"/>
    <xf numFmtId="0" fontId="0" fillId="6" borderId="11" xfId="0" applyFill="1" applyBorder="1" applyProtection="1"/>
    <xf numFmtId="0" fontId="0" fillId="6" borderId="0" xfId="0" applyFill="1" applyBorder="1" applyProtection="1"/>
    <xf numFmtId="0" fontId="0" fillId="6" borderId="12" xfId="0" applyFill="1" applyBorder="1" applyProtection="1"/>
    <xf numFmtId="0" fontId="6" fillId="4" borderId="2" xfId="3" applyFont="1" applyBorder="1" applyAlignment="1" applyProtection="1">
      <alignment horizontal="center"/>
    </xf>
    <xf numFmtId="0" fontId="6" fillId="4" borderId="4" xfId="3" applyFont="1" applyBorder="1" applyAlignment="1" applyProtection="1">
      <alignment horizontal="center"/>
    </xf>
    <xf numFmtId="0" fontId="6" fillId="4" borderId="6" xfId="3" applyFont="1" applyBorder="1" applyAlignment="1" applyProtection="1">
      <alignment horizontal="center"/>
    </xf>
    <xf numFmtId="0" fontId="7" fillId="6" borderId="0" xfId="3" applyFont="1" applyFill="1" applyBorder="1" applyProtection="1"/>
    <xf numFmtId="0" fontId="0" fillId="6" borderId="13" xfId="0" applyFill="1" applyBorder="1" applyProtection="1"/>
    <xf numFmtId="0" fontId="0" fillId="6" borderId="14" xfId="0" applyFill="1" applyBorder="1" applyProtection="1"/>
    <xf numFmtId="0" fontId="0" fillId="6" borderId="15" xfId="0" applyFill="1" applyBorder="1" applyProtection="1"/>
    <xf numFmtId="0" fontId="7" fillId="0" borderId="0" xfId="3" applyFont="1" applyFill="1" applyProtection="1"/>
    <xf numFmtId="0" fontId="2" fillId="7" borderId="16" xfId="0" applyFont="1" applyFill="1" applyBorder="1"/>
    <xf numFmtId="0" fontId="2" fillId="7" borderId="17" xfId="0" applyFont="1" applyFill="1" applyBorder="1"/>
    <xf numFmtId="0" fontId="2" fillId="7" borderId="18" xfId="0" applyFont="1" applyFill="1" applyBorder="1"/>
    <xf numFmtId="0" fontId="0" fillId="8" borderId="16" xfId="0" applyFont="1" applyFill="1" applyBorder="1"/>
    <xf numFmtId="0" fontId="0" fillId="8" borderId="17" xfId="0" applyFont="1" applyFill="1" applyBorder="1"/>
    <xf numFmtId="0" fontId="0" fillId="8" borderId="18" xfId="0" applyFont="1" applyFill="1" applyBorder="1"/>
    <xf numFmtId="0" fontId="0" fillId="0" borderId="16" xfId="0" applyFont="1" applyBorder="1"/>
    <xf numFmtId="0" fontId="0" fillId="0" borderId="17" xfId="0" applyFont="1" applyBorder="1"/>
    <xf numFmtId="0" fontId="0" fillId="0" borderId="18" xfId="0" applyFont="1" applyBorder="1"/>
    <xf numFmtId="0" fontId="0" fillId="8" borderId="19" xfId="0" applyFont="1" applyFill="1" applyBorder="1"/>
    <xf numFmtId="0" fontId="3" fillId="8" borderId="20" xfId="0" applyFont="1" applyFill="1" applyBorder="1"/>
    <xf numFmtId="0" fontId="3" fillId="0" borderId="21" xfId="0" applyFont="1" applyBorder="1"/>
    <xf numFmtId="0" fontId="3" fillId="0" borderId="22" xfId="0" applyFont="1" applyBorder="1"/>
    <xf numFmtId="0" fontId="2" fillId="7" borderId="0" xfId="0" applyFont="1" applyFill="1" applyBorder="1"/>
    <xf numFmtId="0" fontId="0" fillId="8" borderId="24" xfId="0" applyFont="1" applyFill="1" applyBorder="1"/>
    <xf numFmtId="0" fontId="0" fillId="0" borderId="25" xfId="0" applyFont="1" applyBorder="1"/>
    <xf numFmtId="0" fontId="0" fillId="8" borderId="25" xfId="0" applyFont="1" applyFill="1" applyBorder="1"/>
    <xf numFmtId="0" fontId="3" fillId="0" borderId="1" xfId="0" applyFont="1" applyBorder="1"/>
    <xf numFmtId="0" fontId="0" fillId="0" borderId="26" xfId="0" applyFont="1" applyBorder="1"/>
    <xf numFmtId="0" fontId="6" fillId="4" borderId="0" xfId="3" applyFont="1" applyBorder="1" applyAlignment="1" applyProtection="1">
      <alignment horizontal="center"/>
    </xf>
    <xf numFmtId="0" fontId="0" fillId="3" borderId="0" xfId="2" applyFont="1" applyBorder="1" applyAlignment="1" applyProtection="1">
      <alignment horizontal="center"/>
    </xf>
    <xf numFmtId="164" fontId="1" fillId="3" borderId="0" xfId="2" applyNumberFormat="1" applyBorder="1" applyAlignment="1" applyProtection="1">
      <alignment horizontal="center"/>
    </xf>
    <xf numFmtId="0" fontId="1" fillId="3" borderId="0" xfId="2" applyBorder="1" applyAlignment="1" applyProtection="1">
      <alignment horizontal="center"/>
    </xf>
    <xf numFmtId="14" fontId="0" fillId="0" borderId="0" xfId="0" applyNumberFormat="1"/>
    <xf numFmtId="0" fontId="11" fillId="9" borderId="0" xfId="5" applyFont="1" applyFill="1" applyBorder="1" applyAlignment="1">
      <alignment horizontal="left"/>
    </xf>
    <xf numFmtId="0" fontId="11" fillId="9" borderId="27" xfId="5" applyFont="1" applyFill="1" applyBorder="1" applyAlignment="1">
      <alignment horizontal="left"/>
    </xf>
    <xf numFmtId="0" fontId="10" fillId="0" borderId="0" xfId="5" applyFill="1"/>
    <xf numFmtId="0" fontId="12" fillId="9" borderId="0" xfId="6">
      <alignment vertical="top" wrapText="1"/>
    </xf>
    <xf numFmtId="0" fontId="11" fillId="9" borderId="27" xfId="5" applyFont="1" applyFill="1" applyBorder="1" applyAlignment="1">
      <alignment horizontal="left" wrapText="1"/>
    </xf>
    <xf numFmtId="0" fontId="10" fillId="0" borderId="0" xfId="5" applyFill="1" applyAlignment="1">
      <alignment wrapText="1"/>
    </xf>
    <xf numFmtId="0" fontId="14" fillId="9" borderId="0" xfId="7">
      <alignment vertical="top" wrapText="1"/>
    </xf>
    <xf numFmtId="0" fontId="15" fillId="9" borderId="27" xfId="5" applyFont="1" applyFill="1" applyBorder="1" applyAlignment="1">
      <alignment horizontal="left" wrapText="1"/>
    </xf>
    <xf numFmtId="0" fontId="12" fillId="9" borderId="0" xfId="8">
      <alignment vertical="top" wrapText="1"/>
    </xf>
    <xf numFmtId="0" fontId="11" fillId="9" borderId="0" xfId="5" applyFont="1" applyFill="1" applyBorder="1" applyAlignment="1">
      <alignment horizontal="right"/>
    </xf>
    <xf numFmtId="0" fontId="16" fillId="10" borderId="28" xfId="5" applyFont="1" applyFill="1" applyBorder="1" applyAlignment="1">
      <alignment horizontal="left"/>
    </xf>
    <xf numFmtId="0" fontId="0" fillId="3" borderId="3" xfId="2" applyFont="1" applyBorder="1" applyAlignment="1" applyProtection="1">
      <alignment horizontal="center"/>
      <protection locked="0"/>
    </xf>
    <xf numFmtId="0" fontId="0" fillId="3" borderId="5" xfId="2" applyFont="1" applyBorder="1" applyAlignment="1" applyProtection="1">
      <alignment horizontal="center"/>
      <protection locked="0"/>
    </xf>
    <xf numFmtId="164" fontId="1" fillId="3" borderId="5" xfId="2" applyNumberFormat="1" applyBorder="1" applyAlignment="1" applyProtection="1">
      <alignment horizontal="center"/>
      <protection locked="0"/>
    </xf>
    <xf numFmtId="0" fontId="1" fillId="3" borderId="7" xfId="2" applyBorder="1" applyAlignment="1" applyProtection="1">
      <alignment horizontal="center"/>
      <protection locked="0"/>
    </xf>
    <xf numFmtId="0" fontId="17" fillId="9" borderId="0" xfId="5" applyFont="1" applyFill="1" applyBorder="1" applyAlignment="1">
      <alignment horizontal="center" vertical="center" wrapText="1"/>
    </xf>
    <xf numFmtId="0" fontId="17" fillId="9" borderId="27" xfId="5" applyFont="1" applyFill="1" applyBorder="1" applyAlignment="1">
      <alignment horizontal="center" vertical="center" wrapText="1"/>
    </xf>
    <xf numFmtId="0" fontId="17" fillId="9" borderId="29" xfId="5" applyFont="1" applyFill="1" applyBorder="1" applyAlignment="1">
      <alignment horizontal="center" vertical="center" wrapText="1"/>
    </xf>
    <xf numFmtId="0" fontId="17" fillId="9" borderId="30" xfId="5" applyFont="1" applyFill="1" applyBorder="1" applyAlignment="1">
      <alignment horizontal="center" vertical="center" wrapText="1"/>
    </xf>
    <xf numFmtId="0" fontId="8" fillId="2" borderId="0" xfId="1" applyFont="1" applyBorder="1" applyAlignment="1">
      <alignment horizontal="center" vertical="center"/>
    </xf>
    <xf numFmtId="0" fontId="5" fillId="11" borderId="11" xfId="4" applyFont="1" applyFill="1" applyBorder="1" applyAlignment="1" applyProtection="1">
      <alignment horizontal="center"/>
    </xf>
    <xf numFmtId="0" fontId="5" fillId="11" borderId="0" xfId="4" applyFont="1" applyFill="1" applyBorder="1" applyAlignment="1" applyProtection="1">
      <alignment horizontal="center"/>
    </xf>
    <xf numFmtId="0" fontId="8" fillId="2" borderId="0" xfId="1" applyFont="1" applyBorder="1" applyAlignment="1">
      <alignment horizontal="center"/>
    </xf>
    <xf numFmtId="0" fontId="8" fillId="2" borderId="23" xfId="1" applyFont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5" fillId="5" borderId="8" xfId="4" applyFont="1" applyBorder="1" applyAlignment="1" applyProtection="1">
      <alignment horizontal="center"/>
    </xf>
    <xf numFmtId="0" fontId="5" fillId="5" borderId="9" xfId="4" applyFont="1" applyBorder="1" applyAlignment="1" applyProtection="1">
      <alignment horizontal="center"/>
    </xf>
    <xf numFmtId="0" fontId="5" fillId="5" borderId="10" xfId="4" applyFont="1" applyBorder="1" applyAlignment="1" applyProtection="1">
      <alignment horizontal="center"/>
    </xf>
    <xf numFmtId="0" fontId="6" fillId="3" borderId="11" xfId="2" applyFont="1" applyBorder="1" applyAlignment="1" applyProtection="1">
      <alignment horizontal="center"/>
    </xf>
    <xf numFmtId="0" fontId="6" fillId="3" borderId="0" xfId="2" applyFont="1" applyBorder="1" applyAlignment="1" applyProtection="1">
      <alignment horizontal="center"/>
    </xf>
    <xf numFmtId="0" fontId="6" fillId="3" borderId="12" xfId="2" applyFont="1" applyBorder="1" applyAlignment="1" applyProtection="1">
      <alignment horizontal="center"/>
    </xf>
    <xf numFmtId="0" fontId="5" fillId="11" borderId="0" xfId="0" applyFont="1" applyFill="1" applyAlignment="1">
      <alignment horizontal="center"/>
    </xf>
  </cellXfs>
  <cellStyles count="9">
    <cellStyle name="20% - Accent5" xfId="2" builtinId="46"/>
    <cellStyle name="40% - Accent5" xfId="3" builtinId="47"/>
    <cellStyle name="60% - Accent5" xfId="4" builtinId="48"/>
    <cellStyle name="Accent5" xfId="1" builtinId="45"/>
    <cellStyle name="Normal" xfId="0" builtinId="0"/>
    <cellStyle name="Normal 2 2" xfId="5" xr:uid="{00000000-0005-0000-0000-000005000000}"/>
    <cellStyle name="Project Header" xfId="6" xr:uid="{00000000-0005-0000-0000-000006000000}"/>
    <cellStyle name="Student Name" xfId="7" xr:uid="{00000000-0005-0000-0000-000007000000}"/>
    <cellStyle name="Submission" xfId="8" xr:uid="{00000000-0005-0000-0000-000008000000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264987</xdr:colOff>
      <xdr:row>2</xdr:row>
      <xdr:rowOff>0</xdr:rowOff>
    </xdr:from>
    <xdr:to>
      <xdr:col>0</xdr:col>
      <xdr:colOff>1270827</xdr:colOff>
      <xdr:row>2</xdr:row>
      <xdr:rowOff>367102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4987" y="638175"/>
          <a:ext cx="1005840" cy="36710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727902</xdr:colOff>
      <xdr:row>15</xdr:row>
      <xdr:rowOff>28576</xdr:rowOff>
    </xdr:from>
    <xdr:to>
      <xdr:col>0</xdr:col>
      <xdr:colOff>1270827</xdr:colOff>
      <xdr:row>24</xdr:row>
      <xdr:rowOff>95251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7902" y="3171826"/>
          <a:ext cx="542925" cy="1524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61152</xdr:colOff>
      <xdr:row>2</xdr:row>
      <xdr:rowOff>0</xdr:rowOff>
    </xdr:from>
    <xdr:to>
      <xdr:col>8</xdr:col>
      <xdr:colOff>0</xdr:colOff>
      <xdr:row>2</xdr:row>
      <xdr:rowOff>314325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8690802" y="638175"/>
          <a:ext cx="1119948" cy="3143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9</xdr:row>
          <xdr:rowOff>57150</xdr:rowOff>
        </xdr:from>
        <xdr:to>
          <xdr:col>1</xdr:col>
          <xdr:colOff>1762125</xdr:colOff>
          <xdr:row>10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9</xdr:row>
          <xdr:rowOff>47625</xdr:rowOff>
        </xdr:from>
        <xdr:to>
          <xdr:col>2</xdr:col>
          <xdr:colOff>1733550</xdr:colOff>
          <xdr:row>10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Volunteer 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yoti Gautam" id="{6F1008C8-BBDA-4709-AFD1-C4023BD949E1}" userId="07c8ccab1d3c241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E5" totalsRowShown="0" headerRowDxfId="0" headerRowCellStyle="40% - Accent5">
  <autoFilter ref="A4:E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olunteer Name"/>
    <tableColumn id="2" xr3:uid="{00000000-0010-0000-0000-000002000000}" name="Organization"/>
    <tableColumn id="3" xr3:uid="{00000000-0010-0000-0000-000003000000}" name="Volunteer Date"/>
    <tableColumn id="4" xr3:uid="{00000000-0010-0000-0000-000004000000}" name="Assignment"/>
    <tableColumn id="5" xr3:uid="{00000000-0010-0000-0000-000005000000}" name="T-Shirt Siz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" dT="2019-10-20T21:15:51.51" personId="{6F1008C8-BBDA-4709-AFD1-C4023BD949E1}" id="{BB600175-FA15-4B12-A8B6-559D7FB17889}">
    <text>Consider moving this table to another worksheet.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11"/>
  <sheetViews>
    <sheetView showGridLines="0" zoomScaleNormal="100" workbookViewId="0">
      <selection activeCell="B6" sqref="B6"/>
    </sheetView>
  </sheetViews>
  <sheetFormatPr defaultColWidth="8.85546875" defaultRowHeight="12.75" x14ac:dyDescent="0.2"/>
  <cols>
    <col min="1" max="1" width="21.28515625" style="39" customWidth="1"/>
    <col min="2" max="2" width="76.5703125" style="39" customWidth="1"/>
    <col min="3" max="3" width="5" style="39" customWidth="1"/>
    <col min="4" max="16384" width="8.85546875" style="39"/>
  </cols>
  <sheetData>
    <row r="1" spans="1:3" ht="32.25" customHeight="1" x14ac:dyDescent="0.25">
      <c r="A1" s="37"/>
      <c r="B1" s="37"/>
      <c r="C1" s="38"/>
    </row>
    <row r="2" spans="1:3" s="42" customFormat="1" ht="18" customHeight="1" x14ac:dyDescent="0.25">
      <c r="A2" s="37"/>
      <c r="B2" s="40" t="s">
        <v>27</v>
      </c>
      <c r="C2" s="41"/>
    </row>
    <row r="3" spans="1:3" s="42" customFormat="1" ht="34.5" x14ac:dyDescent="0.25">
      <c r="A3" s="37"/>
      <c r="B3" s="43" t="s">
        <v>5</v>
      </c>
      <c r="C3" s="44"/>
    </row>
    <row r="4" spans="1:3" ht="16.5" x14ac:dyDescent="0.25">
      <c r="A4" s="37"/>
      <c r="B4" s="45" t="s">
        <v>28</v>
      </c>
      <c r="C4" s="38"/>
    </row>
    <row r="5" spans="1:3" ht="15.75" customHeight="1" x14ac:dyDescent="0.25">
      <c r="A5" s="37"/>
      <c r="B5" s="37"/>
      <c r="C5" s="38"/>
    </row>
    <row r="6" spans="1:3" ht="13.5" x14ac:dyDescent="0.25">
      <c r="A6" s="46" t="s">
        <v>24</v>
      </c>
      <c r="B6" s="47" t="s">
        <v>25</v>
      </c>
      <c r="C6" s="38"/>
    </row>
    <row r="7" spans="1:3" ht="13.5" x14ac:dyDescent="0.25">
      <c r="A7" s="37"/>
      <c r="B7" s="37"/>
      <c r="C7" s="38"/>
    </row>
    <row r="8" spans="1:3" x14ac:dyDescent="0.2">
      <c r="A8" s="52" t="s">
        <v>26</v>
      </c>
      <c r="B8" s="52"/>
      <c r="C8" s="53"/>
    </row>
    <row r="9" spans="1:3" x14ac:dyDescent="0.2">
      <c r="A9" s="52"/>
      <c r="B9" s="52"/>
      <c r="C9" s="53"/>
    </row>
    <row r="10" spans="1:3" ht="13.5" thickBot="1" x14ac:dyDescent="0.25">
      <c r="A10" s="54"/>
      <c r="B10" s="54"/>
      <c r="C10" s="55"/>
    </row>
    <row r="11" spans="1:3" ht="13.5" thickTop="1" x14ac:dyDescent="0.2"/>
  </sheetData>
  <mergeCells count="1">
    <mergeCell ref="A8:C10"/>
  </mergeCells>
  <dataValidations count="2">
    <dataValidation allowBlank="1" showInputMessage="1" showErrorMessage="1" error="                                                                " sqref="J2:J3" xr:uid="{00000000-0002-0000-0000-000000000000}"/>
    <dataValidation allowBlank="1" error="pavI8MeUFtEyxX2I4tky7128f1dd-374d-4b69-a0cc-bc641e925f8e" sqref="A1:C1 A2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1"/>
  <sheetViews>
    <sheetView workbookViewId="0">
      <selection activeCell="G18" sqref="G18"/>
    </sheetView>
  </sheetViews>
  <sheetFormatPr defaultRowHeight="15" x14ac:dyDescent="0.25"/>
  <cols>
    <col min="1" max="4" width="21.7109375" customWidth="1"/>
    <col min="7" max="7" width="18.85546875" bestFit="1" customWidth="1"/>
    <col min="8" max="8" width="16.7109375" customWidth="1"/>
  </cols>
  <sheetData>
    <row r="1" spans="1:8" ht="31.5" x14ac:dyDescent="0.5">
      <c r="A1" s="57" t="s">
        <v>29</v>
      </c>
      <c r="B1" s="58"/>
      <c r="C1" s="58"/>
      <c r="D1" s="58"/>
      <c r="G1" s="56" t="s">
        <v>16</v>
      </c>
      <c r="H1" s="56"/>
    </row>
    <row r="2" spans="1:8" x14ac:dyDescent="0.25">
      <c r="G2" s="13" t="s">
        <v>4</v>
      </c>
      <c r="H2" s="13" t="s">
        <v>17</v>
      </c>
    </row>
    <row r="3" spans="1:8" ht="21" x14ac:dyDescent="0.35">
      <c r="A3" s="59" t="s">
        <v>23</v>
      </c>
      <c r="B3" s="59"/>
      <c r="C3" s="59"/>
      <c r="D3" s="59"/>
      <c r="G3" s="16" t="s">
        <v>7</v>
      </c>
      <c r="H3" s="16">
        <f t="shared" ref="H3:H8" si="0">D5+D15+D25</f>
        <v>181</v>
      </c>
    </row>
    <row r="4" spans="1:8" ht="15.75" thickBot="1" x14ac:dyDescent="0.3">
      <c r="A4" s="13" t="s">
        <v>4</v>
      </c>
      <c r="B4" s="14" t="s">
        <v>12</v>
      </c>
      <c r="C4" s="15" t="s">
        <v>13</v>
      </c>
      <c r="D4" s="26" t="s">
        <v>14</v>
      </c>
      <c r="G4" s="19" t="s">
        <v>9</v>
      </c>
      <c r="H4" s="19">
        <f t="shared" si="0"/>
        <v>96</v>
      </c>
    </row>
    <row r="5" spans="1:8" x14ac:dyDescent="0.25">
      <c r="A5" s="16" t="s">
        <v>7</v>
      </c>
      <c r="B5" s="17">
        <v>30</v>
      </c>
      <c r="C5" s="18">
        <v>31</v>
      </c>
      <c r="D5" s="27">
        <f>SUM(B5:C5)</f>
        <v>61</v>
      </c>
      <c r="G5" s="16" t="s">
        <v>8</v>
      </c>
      <c r="H5" s="16">
        <f t="shared" si="0"/>
        <v>168</v>
      </c>
    </row>
    <row r="6" spans="1:8" x14ac:dyDescent="0.25">
      <c r="A6" s="19" t="s">
        <v>9</v>
      </c>
      <c r="B6" s="20">
        <v>10</v>
      </c>
      <c r="C6" s="21">
        <v>11</v>
      </c>
      <c r="D6" s="28">
        <f t="shared" ref="D6:D11" si="1">SUM(B6:C6)</f>
        <v>21</v>
      </c>
      <c r="G6" s="19" t="s">
        <v>11</v>
      </c>
      <c r="H6" s="19">
        <f t="shared" si="0"/>
        <v>78</v>
      </c>
    </row>
    <row r="7" spans="1:8" x14ac:dyDescent="0.25">
      <c r="A7" s="16" t="s">
        <v>8</v>
      </c>
      <c r="B7" s="17">
        <v>10</v>
      </c>
      <c r="C7" s="18">
        <v>18</v>
      </c>
      <c r="D7" s="29">
        <f t="shared" si="1"/>
        <v>28</v>
      </c>
      <c r="G7" s="16" t="s">
        <v>10</v>
      </c>
      <c r="H7" s="16">
        <f t="shared" si="0"/>
        <v>52</v>
      </c>
    </row>
    <row r="8" spans="1:8" ht="15.75" thickBot="1" x14ac:dyDescent="0.3">
      <c r="A8" s="19" t="s">
        <v>11</v>
      </c>
      <c r="B8" s="20">
        <v>15</v>
      </c>
      <c r="C8" s="21">
        <v>13</v>
      </c>
      <c r="D8" s="28">
        <f t="shared" si="1"/>
        <v>28</v>
      </c>
      <c r="G8" s="31" t="s">
        <v>15</v>
      </c>
      <c r="H8" s="31">
        <f t="shared" si="0"/>
        <v>18</v>
      </c>
    </row>
    <row r="9" spans="1:8" ht="15.75" thickTop="1" x14ac:dyDescent="0.25">
      <c r="A9" s="16" t="s">
        <v>10</v>
      </c>
      <c r="B9" s="17">
        <v>5</v>
      </c>
      <c r="C9" s="18">
        <v>7</v>
      </c>
      <c r="D9" s="29">
        <f t="shared" si="1"/>
        <v>12</v>
      </c>
      <c r="G9" s="22" t="s">
        <v>14</v>
      </c>
      <c r="H9" s="22">
        <f>SUM(Total_Volunteers)</f>
        <v>593</v>
      </c>
    </row>
    <row r="10" spans="1:8" ht="15.75" thickBot="1" x14ac:dyDescent="0.3">
      <c r="A10" s="19" t="s">
        <v>15</v>
      </c>
      <c r="B10" s="20">
        <v>5</v>
      </c>
      <c r="C10" s="21">
        <v>1</v>
      </c>
      <c r="D10" s="28">
        <f t="shared" si="1"/>
        <v>6</v>
      </c>
    </row>
    <row r="11" spans="1:8" ht="15.75" thickBot="1" x14ac:dyDescent="0.3">
      <c r="A11" s="23" t="s">
        <v>14</v>
      </c>
      <c r="B11" s="24">
        <f>SUM(Friday_Morning)</f>
        <v>75</v>
      </c>
      <c r="C11" s="25">
        <f>SUM(C5:C10)</f>
        <v>81</v>
      </c>
      <c r="D11" s="30">
        <f t="shared" si="1"/>
        <v>156</v>
      </c>
    </row>
    <row r="13" spans="1:8" ht="21" x14ac:dyDescent="0.35">
      <c r="A13" s="59" t="s">
        <v>22</v>
      </c>
      <c r="B13" s="59"/>
      <c r="C13" s="59"/>
      <c r="D13" s="59"/>
    </row>
    <row r="14" spans="1:8" ht="15.75" thickBot="1" x14ac:dyDescent="0.3">
      <c r="A14" s="13" t="s">
        <v>4</v>
      </c>
      <c r="B14" s="14" t="s">
        <v>12</v>
      </c>
      <c r="C14" s="15" t="s">
        <v>13</v>
      </c>
      <c r="D14" s="26" t="s">
        <v>14</v>
      </c>
    </row>
    <row r="15" spans="1:8" x14ac:dyDescent="0.25">
      <c r="A15" s="16" t="s">
        <v>7</v>
      </c>
      <c r="B15" s="17">
        <v>50</v>
      </c>
      <c r="C15" s="17">
        <v>55</v>
      </c>
      <c r="D15" s="27">
        <f>SUM(B15:C15)</f>
        <v>105</v>
      </c>
    </row>
    <row r="16" spans="1:8" x14ac:dyDescent="0.25">
      <c r="A16" s="19" t="s">
        <v>9</v>
      </c>
      <c r="B16" s="20">
        <v>25</v>
      </c>
      <c r="C16" s="20">
        <v>30</v>
      </c>
      <c r="D16" s="28">
        <f t="shared" ref="D16:D21" si="2">SUM(B16:C16)</f>
        <v>55</v>
      </c>
    </row>
    <row r="17" spans="1:8" x14ac:dyDescent="0.25">
      <c r="A17" s="16" t="s">
        <v>8</v>
      </c>
      <c r="B17" s="17">
        <v>10</v>
      </c>
      <c r="C17" s="17">
        <v>10</v>
      </c>
      <c r="D17" s="29">
        <f t="shared" si="2"/>
        <v>20</v>
      </c>
    </row>
    <row r="18" spans="1:8" x14ac:dyDescent="0.25">
      <c r="A18" s="19" t="s">
        <v>11</v>
      </c>
      <c r="B18" s="20">
        <v>15</v>
      </c>
      <c r="C18" s="20">
        <v>15</v>
      </c>
      <c r="D18" s="28">
        <f t="shared" si="2"/>
        <v>30</v>
      </c>
    </row>
    <row r="19" spans="1:8" x14ac:dyDescent="0.25">
      <c r="A19" s="16" t="s">
        <v>10</v>
      </c>
      <c r="B19" s="17">
        <v>10</v>
      </c>
      <c r="C19" s="17">
        <v>10</v>
      </c>
      <c r="D19" s="29">
        <f t="shared" si="2"/>
        <v>20</v>
      </c>
      <c r="H19" s="36"/>
    </row>
    <row r="20" spans="1:8" ht="15.75" thickBot="1" x14ac:dyDescent="0.3">
      <c r="A20" s="19" t="s">
        <v>15</v>
      </c>
      <c r="B20" s="20">
        <v>5</v>
      </c>
      <c r="C20" s="20">
        <v>0</v>
      </c>
      <c r="D20" s="28">
        <f t="shared" si="2"/>
        <v>5</v>
      </c>
    </row>
    <row r="21" spans="1:8" ht="15.75" thickBot="1" x14ac:dyDescent="0.3">
      <c r="A21" s="23" t="s">
        <v>14</v>
      </c>
      <c r="B21" s="24">
        <f>SUM(Saturday_Morning)</f>
        <v>115</v>
      </c>
      <c r="C21" s="24">
        <f>SUM(C15:C20)</f>
        <v>120</v>
      </c>
      <c r="D21" s="30">
        <f t="shared" si="2"/>
        <v>235</v>
      </c>
    </row>
    <row r="23" spans="1:8" ht="21" x14ac:dyDescent="0.35">
      <c r="A23" s="60" t="s">
        <v>21</v>
      </c>
      <c r="B23" s="60"/>
      <c r="C23" s="60"/>
      <c r="D23" s="60"/>
    </row>
    <row r="24" spans="1:8" ht="15.75" thickBot="1" x14ac:dyDescent="0.3">
      <c r="A24" s="13" t="s">
        <v>4</v>
      </c>
      <c r="B24" s="14" t="s">
        <v>12</v>
      </c>
      <c r="C24" s="15" t="s">
        <v>13</v>
      </c>
      <c r="D24" s="15" t="s">
        <v>14</v>
      </c>
    </row>
    <row r="25" spans="1:8" x14ac:dyDescent="0.25">
      <c r="A25" s="16" t="s">
        <v>7</v>
      </c>
      <c r="B25" s="17">
        <v>10</v>
      </c>
      <c r="C25" s="17">
        <v>5</v>
      </c>
      <c r="D25" s="27">
        <f>SUM(B25:C25)</f>
        <v>15</v>
      </c>
    </row>
    <row r="26" spans="1:8" x14ac:dyDescent="0.25">
      <c r="A26" s="19" t="s">
        <v>9</v>
      </c>
      <c r="B26" s="20">
        <v>15</v>
      </c>
      <c r="C26" s="20">
        <v>5</v>
      </c>
      <c r="D26" s="28">
        <f t="shared" ref="D26:D31" si="3">SUM(B26:C26)</f>
        <v>20</v>
      </c>
    </row>
    <row r="27" spans="1:8" x14ac:dyDescent="0.25">
      <c r="A27" s="16" t="s">
        <v>8</v>
      </c>
      <c r="B27" s="17">
        <v>50</v>
      </c>
      <c r="C27" s="17">
        <v>70</v>
      </c>
      <c r="D27" s="29">
        <f t="shared" si="3"/>
        <v>120</v>
      </c>
    </row>
    <row r="28" spans="1:8" x14ac:dyDescent="0.25">
      <c r="A28" s="19" t="s">
        <v>11</v>
      </c>
      <c r="B28" s="20">
        <v>5</v>
      </c>
      <c r="C28" s="20">
        <v>15</v>
      </c>
      <c r="D28" s="28">
        <f t="shared" si="3"/>
        <v>20</v>
      </c>
    </row>
    <row r="29" spans="1:8" x14ac:dyDescent="0.25">
      <c r="A29" s="16" t="s">
        <v>10</v>
      </c>
      <c r="B29" s="17">
        <v>10</v>
      </c>
      <c r="C29" s="17">
        <v>10</v>
      </c>
      <c r="D29" s="29">
        <f t="shared" si="3"/>
        <v>20</v>
      </c>
    </row>
    <row r="30" spans="1:8" ht="15.75" thickBot="1" x14ac:dyDescent="0.3">
      <c r="A30" s="19" t="s">
        <v>15</v>
      </c>
      <c r="B30" s="20">
        <v>5</v>
      </c>
      <c r="C30" s="20">
        <v>2</v>
      </c>
      <c r="D30" s="28">
        <f t="shared" si="3"/>
        <v>7</v>
      </c>
    </row>
    <row r="31" spans="1:8" ht="15.75" thickBot="1" x14ac:dyDescent="0.3">
      <c r="A31" s="23" t="s">
        <v>14</v>
      </c>
      <c r="B31" s="24">
        <f>SUM(Sunday_Morning)</f>
        <v>95</v>
      </c>
      <c r="C31" s="24">
        <f>SUM(Sunday_Afternoon)</f>
        <v>107</v>
      </c>
      <c r="D31" s="30">
        <f t="shared" si="3"/>
        <v>202</v>
      </c>
    </row>
  </sheetData>
  <mergeCells count="5">
    <mergeCell ref="G1:H1"/>
    <mergeCell ref="A1:D1"/>
    <mergeCell ref="A3:D3"/>
    <mergeCell ref="A13:D13"/>
    <mergeCell ref="A23:D23"/>
  </mergeCells>
  <dataValidations count="1">
    <dataValidation allowBlank="1" error="pavI8MeUFtEyxX2I4tky7128f1dd-374d-4b69-a0cc-bc641e925f8e" sqref="A1:A31 E1:H31 B2:D31" xr:uid="{00000000-0002-0000-0100-000000000000}"/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1"/>
  <sheetViews>
    <sheetView workbookViewId="0">
      <selection activeCell="A2" sqref="A1:A1048576"/>
    </sheetView>
  </sheetViews>
  <sheetFormatPr defaultRowHeight="15" x14ac:dyDescent="0.25"/>
  <cols>
    <col min="1" max="4" width="21.7109375" customWidth="1"/>
  </cols>
  <sheetData>
    <row r="1" spans="1:4" ht="31.5" x14ac:dyDescent="0.5">
      <c r="A1" s="61" t="s">
        <v>29</v>
      </c>
      <c r="B1" s="61"/>
      <c r="C1" s="61"/>
      <c r="D1" s="61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5"/>
  <sheetViews>
    <sheetView tabSelected="1" workbookViewId="0">
      <selection activeCell="A2" sqref="A1:A1048576"/>
    </sheetView>
  </sheetViews>
  <sheetFormatPr defaultRowHeight="15" x14ac:dyDescent="0.25"/>
  <cols>
    <col min="1" max="4" width="21.7109375" customWidth="1"/>
    <col min="5" max="5" width="15.28515625" customWidth="1"/>
  </cols>
  <sheetData>
    <row r="1" spans="1:5" ht="31.5" x14ac:dyDescent="0.5">
      <c r="A1" s="68" t="s">
        <v>29</v>
      </c>
      <c r="B1" s="68"/>
      <c r="C1" s="68"/>
      <c r="D1" s="68"/>
    </row>
    <row r="4" spans="1:5" ht="18.75" x14ac:dyDescent="0.3">
      <c r="A4" s="32" t="s">
        <v>0</v>
      </c>
      <c r="B4" s="32" t="s">
        <v>2</v>
      </c>
      <c r="C4" s="32" t="s">
        <v>1</v>
      </c>
      <c r="D4" s="32" t="s">
        <v>4</v>
      </c>
      <c r="E4" s="32" t="s">
        <v>3</v>
      </c>
    </row>
    <row r="5" spans="1:5" x14ac:dyDescent="0.25">
      <c r="A5" s="33" t="s">
        <v>19</v>
      </c>
      <c r="B5" s="33" t="s">
        <v>20</v>
      </c>
      <c r="C5" s="34">
        <v>43238</v>
      </c>
      <c r="D5" s="33" t="s">
        <v>15</v>
      </c>
      <c r="E5" s="35" t="s">
        <v>18</v>
      </c>
    </row>
  </sheetData>
  <mergeCells count="1">
    <mergeCell ref="A1:D1"/>
  </mergeCells>
  <dataValidations count="2">
    <dataValidation type="list" allowBlank="1" showInputMessage="1" showErrorMessage="1" sqref="E5" xr:uid="{00000000-0002-0000-0300-000000000000}">
      <formula1>"XS,S,M,L,XL,XXL"</formula1>
    </dataValidation>
    <dataValidation allowBlank="1" error="pavI8MeUFtEyxX2I4tky7128f1dd-374d-4b69-a0cc-bc641e925f8e" sqref="E1:E4 A5:D5 A1:A4 B2:D4" xr:uid="{00000000-0002-0000-0300-000001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21"/>
  <sheetViews>
    <sheetView workbookViewId="0">
      <selection activeCell="H11" sqref="H11"/>
    </sheetView>
  </sheetViews>
  <sheetFormatPr defaultRowHeight="15" x14ac:dyDescent="0.25"/>
  <cols>
    <col min="2" max="3" width="27.5703125" customWidth="1"/>
  </cols>
  <sheetData>
    <row r="1" spans="1:6" ht="32.25" thickTop="1" x14ac:dyDescent="0.5">
      <c r="A1" s="62" t="s">
        <v>5</v>
      </c>
      <c r="B1" s="63"/>
      <c r="C1" s="63"/>
      <c r="D1" s="64"/>
      <c r="E1" s="1"/>
      <c r="F1" s="1"/>
    </row>
    <row r="2" spans="1:6" ht="18.75" x14ac:dyDescent="0.3">
      <c r="A2" s="65" t="s">
        <v>6</v>
      </c>
      <c r="B2" s="66"/>
      <c r="C2" s="66"/>
      <c r="D2" s="67"/>
      <c r="E2" s="1"/>
      <c r="F2" s="1"/>
    </row>
    <row r="3" spans="1:6" ht="15.75" thickBot="1" x14ac:dyDescent="0.3">
      <c r="A3" s="2"/>
      <c r="B3" s="3"/>
      <c r="C3" s="3"/>
      <c r="D3" s="4"/>
      <c r="E3" s="1"/>
      <c r="F3" s="1"/>
    </row>
    <row r="4" spans="1:6" ht="18.75" x14ac:dyDescent="0.3">
      <c r="A4" s="2"/>
      <c r="B4" s="5" t="s">
        <v>0</v>
      </c>
      <c r="C4" s="48" t="s">
        <v>30</v>
      </c>
      <c r="D4" s="4"/>
      <c r="E4" s="1"/>
      <c r="F4" s="1"/>
    </row>
    <row r="5" spans="1:6" ht="18.75" x14ac:dyDescent="0.3">
      <c r="A5" s="2"/>
      <c r="B5" s="6" t="s">
        <v>2</v>
      </c>
      <c r="C5" s="49" t="s">
        <v>31</v>
      </c>
      <c r="D5" s="4"/>
      <c r="E5" s="1"/>
      <c r="F5" s="1"/>
    </row>
    <row r="6" spans="1:6" ht="18.75" x14ac:dyDescent="0.3">
      <c r="A6" s="2"/>
      <c r="B6" s="6" t="s">
        <v>1</v>
      </c>
      <c r="C6" s="50">
        <v>43239</v>
      </c>
      <c r="D6" s="4"/>
      <c r="E6" s="1"/>
      <c r="F6" s="1"/>
    </row>
    <row r="7" spans="1:6" ht="18.75" x14ac:dyDescent="0.3">
      <c r="A7" s="2"/>
      <c r="B7" s="6" t="s">
        <v>4</v>
      </c>
      <c r="C7" s="49" t="s">
        <v>9</v>
      </c>
      <c r="D7" s="4"/>
      <c r="E7" s="1"/>
      <c r="F7" s="1"/>
    </row>
    <row r="8" spans="1:6" ht="19.5" thickBot="1" x14ac:dyDescent="0.35">
      <c r="A8" s="2"/>
      <c r="B8" s="7" t="s">
        <v>3</v>
      </c>
      <c r="C8" s="51" t="s">
        <v>32</v>
      </c>
      <c r="D8" s="4"/>
      <c r="E8" s="1"/>
      <c r="F8" s="1"/>
    </row>
    <row r="9" spans="1:6" ht="15.75" x14ac:dyDescent="0.25">
      <c r="A9" s="2"/>
      <c r="B9" s="8"/>
      <c r="C9" s="3"/>
      <c r="D9" s="4"/>
      <c r="E9" s="1"/>
      <c r="F9" s="1"/>
    </row>
    <row r="10" spans="1:6" x14ac:dyDescent="0.25">
      <c r="A10" s="2"/>
      <c r="B10" s="3"/>
      <c r="C10" s="3"/>
      <c r="D10" s="4"/>
      <c r="E10" s="1"/>
      <c r="F10" s="1"/>
    </row>
    <row r="11" spans="1:6" ht="15.75" thickBot="1" x14ac:dyDescent="0.3">
      <c r="A11" s="9"/>
      <c r="B11" s="10"/>
      <c r="C11" s="10"/>
      <c r="D11" s="11"/>
      <c r="E11" s="1"/>
      <c r="F11" s="1"/>
    </row>
    <row r="12" spans="1:6" ht="15.75" thickTop="1" x14ac:dyDescent="0.25">
      <c r="A12" s="1"/>
      <c r="B12" s="1"/>
      <c r="C12" s="1"/>
      <c r="D12" s="1"/>
      <c r="E12" s="1"/>
      <c r="F12" s="1"/>
    </row>
    <row r="13" spans="1:6" ht="15.75" x14ac:dyDescent="0.25">
      <c r="A13" s="1"/>
      <c r="B13" s="12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</sheetData>
  <sheetProtection sheet="1" objects="1" scenarios="1"/>
  <mergeCells count="2">
    <mergeCell ref="A1:D1"/>
    <mergeCell ref="A2:D2"/>
  </mergeCells>
  <dataValidations count="3">
    <dataValidation type="list" allowBlank="1" showInputMessage="1" showErrorMessage="1" errorTitle="Select a valid t-shirt size." promptTitle="T-Shirt Size" prompt="Select a t-shirt size from the list." sqref="C8" xr:uid="{00000000-0002-0000-0400-000000000000}">
      <formula1>"XS,S,M,L,XL,XXL"</formula1>
    </dataValidation>
    <dataValidation type="date" allowBlank="1" showInputMessage="1" showErrorMessage="1" errorTitle="Invalid volunteer date. " promptTitle="Volunteer Date" prompt="Enter volunteer date." sqref="C6" xr:uid="{C629B5CF-7A8F-4DBA-97BD-E91555D7DBFA}">
      <formula1>43238</formula1>
      <formula2>43240</formula2>
    </dataValidation>
    <dataValidation type="list" allowBlank="1" showInputMessage="1" showErrorMessage="1" errorTitle="Invalid assignment." promptTitle="Assignment" prompt="Select an assignment from the list." sqref="C7" xr:uid="{2186F911-422F-4A99-92B2-98CD0C91E441}">
      <formula1>"Waterfront Cleanup, River Cleanup, Landscaping, Material Transport, Refreshments, Support"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Data">
                <anchor moveWithCells="1" sizeWithCells="1">
                  <from>
                    <xdr:col>1</xdr:col>
                    <xdr:colOff>95250</xdr:colOff>
                    <xdr:row>9</xdr:row>
                    <xdr:rowOff>57150</xdr:rowOff>
                  </from>
                  <to>
                    <xdr:col>1</xdr:col>
                    <xdr:colOff>1762125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cord_Volunteer">
                <anchor moveWithCells="1" sizeWithCells="1">
                  <from>
                    <xdr:col>2</xdr:col>
                    <xdr:colOff>19050</xdr:colOff>
                    <xdr:row>9</xdr:row>
                    <xdr:rowOff>47625</xdr:rowOff>
                  </from>
                  <to>
                    <xdr:col>2</xdr:col>
                    <xdr:colOff>1733550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{7128f1dd-374d-4b69-a0cc-bc641e925f8e}</UserID>
  <AssignmentID>{7128f1dd-374d-4b69-a0cc-bc641e925f8e}</AssignmentID>
</GradingEngineProps>
</file>

<file path=customXml/itemProps1.xml><?xml version="1.0" encoding="utf-8"?>
<ds:datastoreItem xmlns:ds="http://schemas.openxmlformats.org/officeDocument/2006/customXml" ds:itemID="{FB1C9CFB-2F87-4AA2-8A92-6D7A3F320C9F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Documentation</vt:lpstr>
      <vt:lpstr>Volunteer Totals</vt:lpstr>
      <vt:lpstr>Volunteer Letterhead</vt:lpstr>
      <vt:lpstr>Volunteer Records</vt:lpstr>
      <vt:lpstr>Volunteer Registration</vt:lpstr>
      <vt:lpstr>Friday_Afternoon</vt:lpstr>
      <vt:lpstr>Friday_Morning</vt:lpstr>
      <vt:lpstr>Landscaping</vt:lpstr>
      <vt:lpstr>Material_Transport</vt:lpstr>
      <vt:lpstr>Refreshments</vt:lpstr>
      <vt:lpstr>River_Cleanup</vt:lpstr>
      <vt:lpstr>Saturday_Afternoon</vt:lpstr>
      <vt:lpstr>Saturday_Morning</vt:lpstr>
      <vt:lpstr>Sunday_Afternoon</vt:lpstr>
      <vt:lpstr>Sunday_Morning</vt:lpstr>
      <vt:lpstr>Support</vt:lpstr>
      <vt:lpstr>Total_Volunteers</vt:lpstr>
      <vt:lpstr>Waterfront_Cleanup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© 2018 Cengage Learning. All rights reserved.</dc:creator>
  <cp:lastModifiedBy>Jyoti Gautam</cp:lastModifiedBy>
  <dcterms:created xsi:type="dcterms:W3CDTF">2016-07-12T19:59:15Z</dcterms:created>
  <dcterms:modified xsi:type="dcterms:W3CDTF">2019-10-20T23:33:36Z</dcterms:modified>
</cp:coreProperties>
</file>